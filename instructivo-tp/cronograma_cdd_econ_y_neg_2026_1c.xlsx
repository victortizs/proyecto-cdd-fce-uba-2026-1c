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cto\OneDrive\2_Uni\1_Classes\ds_for_econ_and_biz\proyecto-cdd-fce-uba-2026-1c\instructivo\"/>
    </mc:Choice>
  </mc:AlternateContent>
  <xr:revisionPtr revIDLastSave="0" documentId="13_ncr:1_{B482FC00-F12A-4B27-A168-ABA6F3260075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cronograma" sheetId="1" r:id="rId1"/>
    <sheet name="bibliografía" sheetId="2" r:id="rId2"/>
    <sheet name="cheatsheets_y_recursos_web" sheetId="3" r:id="rId3"/>
    <sheet name="bases_de_datos_posib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D34" i="1"/>
  <c r="D33" i="1"/>
  <c r="D32" i="1"/>
  <c r="E32" i="1" s="1"/>
  <c r="D31" i="1"/>
  <c r="D30" i="1"/>
  <c r="D29" i="1"/>
  <c r="D28" i="1"/>
  <c r="E28" i="1" s="1"/>
  <c r="D27" i="1"/>
  <c r="D26" i="1"/>
  <c r="D25" i="1"/>
  <c r="D24" i="1"/>
  <c r="E24" i="1" s="1"/>
  <c r="D23" i="1"/>
  <c r="D22" i="1"/>
  <c r="D21" i="1"/>
  <c r="D20" i="1"/>
  <c r="D19" i="1"/>
  <c r="D18" i="1"/>
  <c r="D17" i="1"/>
  <c r="D16" i="1"/>
  <c r="D15" i="1"/>
  <c r="D14" i="1"/>
  <c r="D13" i="1"/>
  <c r="D12" i="1"/>
  <c r="E12" i="1" s="1"/>
  <c r="D11" i="1"/>
  <c r="D10" i="1"/>
  <c r="D9" i="1"/>
  <c r="D8" i="1"/>
  <c r="D7" i="1"/>
  <c r="D6" i="1"/>
  <c r="D5" i="1"/>
  <c r="D4" i="1"/>
  <c r="E11" i="1"/>
  <c r="E15" i="1"/>
  <c r="E19" i="1"/>
  <c r="E23" i="1"/>
  <c r="E31" i="1"/>
  <c r="E16" i="1"/>
  <c r="E27" i="1"/>
  <c r="E10" i="1"/>
  <c r="E14" i="1"/>
  <c r="E18" i="1"/>
  <c r="D3" i="1"/>
  <c r="E34" i="1"/>
  <c r="E33" i="1"/>
  <c r="E30" i="1"/>
  <c r="E29" i="1"/>
  <c r="E26" i="1"/>
  <c r="E25" i="1"/>
  <c r="E22" i="1"/>
  <c r="E13" i="1"/>
  <c r="E7" i="1"/>
  <c r="E3" i="1"/>
</calcChain>
</file>

<file path=xl/sharedStrings.xml><?xml version="1.0" encoding="utf-8"?>
<sst xmlns="http://schemas.openxmlformats.org/spreadsheetml/2006/main" count="320" uniqueCount="234">
  <si>
    <t>Clase</t>
  </si>
  <si>
    <t>Fecha</t>
  </si>
  <si>
    <t>Dia</t>
  </si>
  <si>
    <t>Tipo</t>
  </si>
  <si>
    <t>Bloque</t>
  </si>
  <si>
    <t>Temas</t>
  </si>
  <si>
    <t>Tipo de clase</t>
  </si>
  <si>
    <t>Entregas</t>
  </si>
  <si>
    <t>Bibliografía</t>
  </si>
  <si>
    <t>Material de clase + prácticas</t>
  </si>
  <si>
    <t xml:space="preserve"> </t>
  </si>
  <si>
    <t>Introducción</t>
  </si>
  <si>
    <t>Introducción al curso</t>
  </si>
  <si>
    <t xml:space="preserve">¿Qué es la ciencia de datos? Roles, herramientas, casos de uso en economía. Forma de evaluación, TP final, materiales del curso. </t>
  </si>
  <si>
    <t>Virtual</t>
  </si>
  <si>
    <t>Clase 00</t>
  </si>
  <si>
    <t>Teórica</t>
  </si>
  <si>
    <t>Programación</t>
  </si>
  <si>
    <t>Lógica de programación y pseudocódigo</t>
  </si>
  <si>
    <t>Pensamiento computacional: descomposición de problemas. Pseudocódigo. Tipos de datos abstractos. Flujo de un programa: secuencia, condicionales, iteración.</t>
  </si>
  <si>
    <t>Presencial</t>
  </si>
  <si>
    <t>Clase 01</t>
  </si>
  <si>
    <t>Práctica</t>
  </si>
  <si>
    <t>Introducción a R: entorno y sintaxis</t>
  </si>
  <si>
    <t>Instalación R + RStudio / Google Colab. Variables, vectores, listas. Operadores. Funciones básicas (sum, mean, length, class). Tipos de archivos (.R, .Rmd). Cómo pedir ayuda.</t>
  </si>
  <si>
    <t>R4DS 2e, cap. 2 (Workflow: basics).</t>
  </si>
  <si>
    <t>Clase 02</t>
  </si>
  <si>
    <t>Feriado</t>
  </si>
  <si>
    <t>—</t>
  </si>
  <si>
    <t>Tidyverse: lectura de datos y verbos principales</t>
  </si>
  <si>
    <t>Filosofía tidy. read_csv / read_excel / read_delim. Pipe |&gt;. select, filter, mutate, arrange, summarise. Ejercicios con dataset económico.</t>
  </si>
  <si>
    <t>R4DS 2e, cap. 3 (Data transformation) y cap. 7 (Data import).</t>
  </si>
  <si>
    <t>Clase 03</t>
  </si>
  <si>
    <t>Datos tabulares: agrupamiento, pivots y modelos relacionales</t>
  </si>
  <si>
    <t>group_by + summarise. pivot_longer / pivot_wider. if_else, case_when. Concepto de modelo relacional: claves primarias y foráneas. Tipos de joins (left, inner, full, anti). Cuándo usar cada uno.</t>
  </si>
  <si>
    <t>R4DS 2e, cap. 3 (Data transformation), cap. 5 (Data tidying) y cap. 19 (Joins)</t>
  </si>
  <si>
    <t>Estadística</t>
  </si>
  <si>
    <t>Estadística descriptiva: conceptos y distribuciones</t>
  </si>
  <si>
    <t>Medidas de tendencia central (media, mediana, moda). Dispersión (desvío, IQR, rango). Forma (asimetría, curtosis). Distribuciones empíricas vs teóricas. Normal, uniforme. Frecuencias absolutas y relativas.</t>
  </si>
  <si>
    <t>OpenIntro Statistics 4e, cap. 1 (Intro to data) y cap. 2 (Summarizing data).</t>
  </si>
  <si>
    <t>Tidyverse avanzado + Joins + EDA en R</t>
  </si>
  <si>
    <t>Práctica integradora: group_by, pivots, case_when, joins con múltiples tablas. summary(), skimr::skim(), tablas de frecuencia. Primeros gráficos exploratorios rápidos (hist, boxplot base).
Modificaciones de los verbos originales (starts_with, mutate_at, etc.)</t>
  </si>
  <si>
    <t>R4DS 2e, cap. 3 (Data transformation), cap. 10 (EDA) y cap. 19 (Joins).</t>
  </si>
  <si>
    <t>Inferencia estadística: TCL, LGN e intervalos de confianza</t>
  </si>
  <si>
    <t>Población vs muestra. Ley de los Grandes Números (intuitiva). Teorema Central del Límite (con simulaciones). Distribución muestral. Intervalos de confianza: construcción e interpretación.</t>
  </si>
  <si>
    <t>OpenIntro Statistics 4e, cap. 4 (Distributions) y cap. 5 (Foundations for inference).</t>
  </si>
  <si>
    <t>Estadística descriptiva e inferencia en R</t>
  </si>
  <si>
    <t>Cálculo de estadísticas descriptivas con datos reales. Simulación de muestreo y TCL. Construcción de intervalos de confianza. Ejercicio integrador.</t>
  </si>
  <si>
    <t>INSTANCIA 1:
Base de datos
e hipótesis
Recepción hasta 16/04 a las 23:59hs</t>
  </si>
  <si>
    <t>Tests de hipótesis</t>
  </si>
  <si>
    <t>Lógica del test: H₀, H₁, p-valor. Errores tipo I y II. Potencia. t-test (una y dos muestras). Test chi-cuadrado. ANOVA de un factor. ¿Cuándo usar cada uno?</t>
  </si>
  <si>
    <t>OpenIntro Statistics 4e, cap. 5 (Foundations for inference), cap. 6 (Inference categorical) y cap. 7 (Inference numerical).</t>
  </si>
  <si>
    <t>Tests de hipótesis en R</t>
  </si>
  <si>
    <t>t.test(), chisq.test(), aov(). Interpretación de outputs. Verificación de supuestos (normalidad, homocedasticidad). Ejercicios con datos económicos argentinos.</t>
  </si>
  <si>
    <t>Organización de proyectos + APIs + Lubridate</t>
  </si>
  <si>
    <t>Estructura de carpetas. Scripts encadenados y reproducibilidad. Buenas prácticas de código. Intro a APIs (BCRA, Banco Mundial). Lubridate: manejo de fechas.</t>
  </si>
  <si>
    <t>R4DS 2e, cap. 6 (Workflow: scripts and projects) y cap. 17 (Dates and times).
Wilson et al. (2017).</t>
  </si>
  <si>
    <t>Datos faltantes, outliers y transformaciones</t>
  </si>
  <si>
    <t>Tipos de missing: MCAR, MAR, MNAR. Detección de outliers (IQR, z-score). Framework de decisión: eliminar, imputar, mantener. Transformaciones: log, estandarización, normalización, escalado. Justificación e impacto.</t>
  </si>
  <si>
    <t>R4DS 2e, cap. 18 (Missing values).
van Buuren (2018), cap. 1-2.</t>
  </si>
  <si>
    <t>Limpieza en R: faltantes, outliers, regex, funciones</t>
  </si>
  <si>
    <t>naniar para missingness. Detección/tratamiento de outliers. Regex breve (30 min): str_detect, str_replace, str_extract para limpiar texto sucio. Funciones propias. Loops y apply. Setup carpetas del TP.</t>
  </si>
  <si>
    <t>R4DS 2e, cap. 14 (Strings), cap. 15 (Regular expressions) y cap. 25 (Functions).</t>
  </si>
  <si>
    <t>Teórico - Práctico</t>
  </si>
  <si>
    <t>Regresión lineal: concepto y aplicación</t>
  </si>
  <si>
    <t>Modelo lineal simple/múltiple, interpretación de coeficientes, R², supuestos clave. 
Aplicación: lm(), summary(), diagnóstico visual con plot(), predicción.</t>
  </si>
  <si>
    <t>OpenIntro Statistics 4e, cap. 8 (Intro to linear regression) y cap. 9 (Multiple and logistic regression).
Linear Regression de Jared Wilber 
Logistic Regression de Erin Bugbee y Jared Wilber</t>
  </si>
  <si>
    <t>Series de tiempo y operaciones económicas en R</t>
  </si>
  <si>
    <t>Tendencia, estacionalidad, ruido. Luego práctica: lag(), lead(), diff(), promedios móviles. Deflactar con IPC. Indexar series (base=100). Interpolación.</t>
  </si>
  <si>
    <t>Hyndman &amp; Athanasopoulos (2021), cap. 1-2.</t>
  </si>
  <si>
    <t>Economía</t>
  </si>
  <si>
    <t>Herramientas cuantitativas para economistas</t>
  </si>
  <si>
    <t>HHI y CR4/CR8 (concentración). RCA de Balassa y Grubel-Lloyd (comercio). Deflactar e indexar. Índices complejos (ej. competitividad de UNQUI) |  Complejidad económica (conceptual). 
Quizás: Gini y Curva de Lorenz (desigualdad) |  Índices Laspeyres, Paasche, Fisher (precios).</t>
  </si>
  <si>
    <t>Índices económicos en R con datos reales</t>
  </si>
  <si>
    <t>HHI (Comex). Gini + Lorenz con EPH. RCA empleo (BACI-CEPII). Índices complejos</t>
  </si>
  <si>
    <t>Visualización</t>
  </si>
  <si>
    <t>Buenas prácticas de visualización + Gramática de gráficos</t>
  </si>
  <si>
    <t>Principios de Tufte y Few. Data-ink ratio. Errores comunes. Gramática de gráficos: capas de ggplot2 (data, aes, geom, stat, facet, theme). Percepción visual y encodings.</t>
  </si>
  <si>
    <t>INSTANCIA 2:
Métodos
estadísticos. 
Recepción hasta 25/05 a las 23:59hs</t>
  </si>
  <si>
    <t>Schwabish (2021), cap. 1-4.
Tufte (2001), cap. 1-2.</t>
  </si>
  <si>
    <t>ggplot2: fundamentos y gráficos esenciales</t>
  </si>
  <si>
    <t>aes(), geom_point/line/bar/col/histogram/boxplot/density. Facetas. Escalas y colores. Themes. ~10 tipos de gráfico con datos reales.</t>
  </si>
  <si>
    <t>R4DS 2e, cap. 1 (Data visualization), cap. 9 (Layers) y cap. 11 (Communication).</t>
  </si>
  <si>
    <t>Selección de gráficos + Storytelling con datos</t>
  </si>
  <si>
    <t>¿Qué gráfico para qué situación? Storytelling: narrativa visual, anotaciones, highlights, color estratégico. Gráficos editorializados: títulos, subtítulos, caption, fuente.</t>
  </si>
  <si>
    <t>Flowchart de selección. Antes/después.
Knaflic (2015), cap. 1-5.
Schwabish (2021), cap. 5-8.</t>
  </si>
  <si>
    <t>Gráficos editorializados en R</t>
  </si>
  <si>
    <t>annotate(), geom_text/label, escalas manuales, paletas, ggthemes. Replicar gráficos de The Economist / FT / CEPAL. Exportar con ggsave().</t>
  </si>
  <si>
    <t>R4DS 2e, cap. 11 (Communication)</t>
  </si>
  <si>
    <t>Taller de gráficos + Feedback grupal</t>
  </si>
  <si>
    <t>Ejercicio presencial: cada grupo toma un dataset y produce 2 gráficos editorializados</t>
  </si>
  <si>
    <t>Integración</t>
  </si>
  <si>
    <t>Consultas sobre el TP + Últimos ajustes</t>
  </si>
  <si>
    <t>Resolución de dudas. Revisión de avances. Sugerencias para la entrega. Tiempo de trabajo en clase.</t>
  </si>
  <si>
    <t>INSTANCIA 3:
Visualizaciones
Recepción hasta 11/06 a las 23:59hs</t>
  </si>
  <si>
    <t>Cierre del curso + Mercado laboral</t>
  </si>
  <si>
    <t>Feedback del curso. Búsqueda en LinkedIn en vivo. Temas que quedaron afuera. Roadmap post-curso. Recursos para seguir aprendiendo.</t>
  </si>
  <si>
    <t>Web Scraping</t>
  </si>
  <si>
    <t>Web Scraping 1: HTML y primeros pasos con rvest</t>
  </si>
  <si>
    <t>Estructura de una página web: HTML, tags, atributos, CSS selectors. Inspector del navegador. rvest: read_html(), html_elements(), html_text(), html_attr(). Primer scraper funcional.</t>
  </si>
  <si>
    <t>R4DS 2e, cap. 24 (Web scraping).</t>
  </si>
  <si>
    <t>Web Scraping 2: Tablas, ética y buenas prácticas</t>
  </si>
  <si>
    <t>html_table() para scraping de tablas. Ética y legalidad: robots.txt, rate limiting, términos de uso. Limpieza post-scraping. Cuándo usar scraping vs API.</t>
  </si>
  <si>
    <t>ENTREGA
TRABAJO FINAL. Horario de entrega lunes 23/06 a las 23:59hs</t>
  </si>
  <si>
    <t>Web Scraping 3: Paginación y casos reales</t>
  </si>
  <si>
    <t>Iterar sobre múltiples páginas. Construir datasets desde cero. Casos: precios online, datos de organismos públicos. Integración scraping → limpieza → análisis.</t>
  </si>
  <si>
    <t>2do llamado
entrega TP (un punto menos)
Horario de entrega jueves 26/06 a las 23:59hs</t>
  </si>
  <si>
    <t>Web Scraping 4: Proyecto integrador + Presentaciones</t>
  </si>
  <si>
    <t>Presentaciones de proyectos de scraping. Entrega opcional de base scrapeada + Presentaciones del TP final solicitadas</t>
  </si>
  <si>
    <t>Final (para quienes lo requieren)</t>
  </si>
  <si>
    <t>Presentaciones solicitadas</t>
  </si>
  <si>
    <t>Presentaciones del TP final solicitadas</t>
  </si>
  <si>
    <t>Entrega opcional:
base scrapeada</t>
  </si>
  <si>
    <t>Libro</t>
  </si>
  <si>
    <t>Autor</t>
  </si>
  <si>
    <t>Link</t>
  </si>
  <si>
    <t>R for Data Science</t>
  </si>
  <si>
    <t>Hadley Wickham, Mine Çetinkaya-Rundel y Garrett Grolemund</t>
  </si>
  <si>
    <t>https://r4ds.hadley.nz/</t>
  </si>
  <si>
    <t>Forecasting: Principles and Practice</t>
  </si>
  <si>
    <t>Rob Hyndman y George Athanasopoulos</t>
  </si>
  <si>
    <t>https://otexts.com/fpp2/</t>
  </si>
  <si>
    <t>OpenIntro Statistics</t>
  </si>
  <si>
    <t>David Diez, Mine Cetinkaya-Rundel y Christopher Barr</t>
  </si>
  <si>
    <t>https://www.biostat.jhsph.edu/~iruczins/teaching/books/2019.openintro.statistics.pdf</t>
  </si>
  <si>
    <t>Linear Regression: A Visual Introduction To (almost) everything you should know</t>
  </si>
  <si>
    <t>Jared Wilber</t>
  </si>
  <si>
    <t>https://mlu-explain.github.io/linear-regression/</t>
  </si>
  <si>
    <t>Logistic Regression</t>
  </si>
  <si>
    <t>Erin Bugbee y Jared Wilber</t>
  </si>
  <si>
    <t>https://mlu-explain.github.io/logistic-regression/</t>
  </si>
  <si>
    <t>Flexible Inmputation of Missing Data</t>
  </si>
  <si>
    <t>Stef van Buuren</t>
  </si>
  <si>
    <t>https://stefvanbuuren.name/fimd/</t>
  </si>
  <si>
    <t>Storytelling with Data</t>
  </si>
  <si>
    <t>Cole Knaflic</t>
  </si>
  <si>
    <t>https://drive.google.com/file/d/16DO06LVH0IXhGceHLNSfRLsszXGZFv-2/view?usp=drive_link</t>
  </si>
  <si>
    <t>Better Data Visualizacions: A Guide for Scholars, Researchers, and Wonks</t>
  </si>
  <si>
    <t>Schwabish</t>
  </si>
  <si>
    <t>https://github.com/nsidicarocep/curso_cdd_fce_uba_1c2026/blob/main/bibliografia/Visualizaci%C3%B3n/Jonathan%20Schwabish%20-%20Better%20Data%20Visualizations_%20A%20Guide%20for%20Scholars%2C%20Researchers%2C%20and%20Wonks%20(2021%2C%20Columbia%20University%20Press)%20-%20libgen.li.pdf</t>
  </si>
  <si>
    <t>Good Enough Practices in Scientific Computing</t>
  </si>
  <si>
    <t>Wilson et al.</t>
  </si>
  <si>
    <t>https://carpentries-lab.github.io/good-enough-practices/aio.html</t>
  </si>
  <si>
    <t>Tema</t>
  </si>
  <si>
    <t>Utilidad</t>
  </si>
  <si>
    <t>URL</t>
  </si>
  <si>
    <t>dplyr</t>
  </si>
  <si>
    <t>Transformación de datos (group_by, summarize, mutate, etc.)</t>
  </si>
  <si>
    <t>cheatsheet</t>
  </si>
  <si>
    <t>https://rstudio.github.io/cheatsheets/data-transformation.pdf</t>
  </si>
  <si>
    <t>readr</t>
  </si>
  <si>
    <t>Carga de archivos csv y similares</t>
  </si>
  <si>
    <t>https://rstudio.github.io/cheatsheets/data-import.pdf</t>
  </si>
  <si>
    <t>tidyr</t>
  </si>
  <si>
    <t>Ordenamiento de datos (pivots y otros)</t>
  </si>
  <si>
    <t>https://rstudio.github.io/cheatsheets/tidyr.pdf</t>
  </si>
  <si>
    <t>Número</t>
  </si>
  <si>
    <t>Nombre</t>
  </si>
  <si>
    <t>Organismo</t>
  </si>
  <si>
    <t>Cuenta Generación del Ingreso</t>
  </si>
  <si>
    <t>Datos trimestrales de variables económicas (salarios, puestos de trabajo, valor agregado bruto, etc.)</t>
  </si>
  <si>
    <t>INDEC</t>
  </si>
  <si>
    <t>https://www.indec.gob.ar/indec/web/Nivel4-Tema-3-9-49</t>
  </si>
  <si>
    <t>Datos trimestrales de empleo - Nacionales</t>
  </si>
  <si>
    <t>Datos de empleo privado registrado en distintos niveles de agregación</t>
  </si>
  <si>
    <t>OEDE - Secretaría de Trabajo</t>
  </si>
  <si>
    <t>https://www.argentina.gob.ar/trabajo/estadisticas/oede-estadisticas-nacionales</t>
  </si>
  <si>
    <t>Datos trimestrales de empleo - Provinciales</t>
  </si>
  <si>
    <t>Datos de empleo privado registrado en distintos niveles de agregación - Provinciales</t>
  </si>
  <si>
    <t>https://www.argentina.gob.ar/trabajo/estadisticas/oede-estadisticas-provinciales</t>
  </si>
  <si>
    <t>Base de datos de comercio internacional a nivel de producto (BACI-CEPII)</t>
  </si>
  <si>
    <t>Comercio internacional</t>
  </si>
  <si>
    <t>BACI-CEPII</t>
  </si>
  <si>
    <t>https://www.cepii.fr/CEPII/en/bdd_modele/bdd_modele_item.asp?id=37</t>
  </si>
  <si>
    <t>Balanced Trade in Services Dataset (BaTiS)</t>
  </si>
  <si>
    <t>Comercio nternacional de servicios - Para descargar los datos clickear en Bulk download</t>
  </si>
  <si>
    <t>OMC - OCDE</t>
  </si>
  <si>
    <t>https://www.wto.org/english/res_e/statis_e/gstdh_batis_e.htm</t>
  </si>
  <si>
    <t>Argendata Industria</t>
  </si>
  <si>
    <t>Comparación industrial en países varios</t>
  </si>
  <si>
    <t>Fundar</t>
  </si>
  <si>
    <t>https://argendata.fund.ar/topico/industria/</t>
  </si>
  <si>
    <t>Encuesta Permanente de Hogares</t>
  </si>
  <si>
    <t>Encuesta trimestral sobre ocupación, salarios y condiciones de vida</t>
  </si>
  <si>
    <t>https://www.indec.gob.ar/indec/web/Institucional-Indec-BasesDeDatos</t>
  </si>
  <si>
    <t>Encuesta Anual de Hogares</t>
  </si>
  <si>
    <t>Encuesta Anual sobre ocupación, salarios y condiciones de vida de la Ciudad de Buenos Aires</t>
  </si>
  <si>
    <t>Instituto de Estadísticas de la Ciudad</t>
  </si>
  <si>
    <t>https://www.estadisticaciudad.gob.ar/eyc/operativos/encuesta-anual-de-hogares-eah/</t>
  </si>
  <si>
    <t>World Development Indicators</t>
  </si>
  <si>
    <t>Base de datos amplia de variables sobre el nivel de vida de la población por país. 
Observación: en caso de elegirla no deben cargar las 1615 variables en la primera entrega, sino aquellas que más les interesan</t>
  </si>
  <si>
    <t>Banco Mundial</t>
  </si>
  <si>
    <t>https://databank.worldbank.org/source/world-development-indicators</t>
  </si>
  <si>
    <t>Portal de Datos Económicos - Cadenas Productivas</t>
  </si>
  <si>
    <t>Variables económicas varias sobre producción. Al hacer click en "Descargar datos" tendrán acceso a muchas tablas para utilizar en el TP sobre Argentina</t>
  </si>
  <si>
    <t>Ministerio de Economía</t>
  </si>
  <si>
    <t>https://www.economia.gob.ar/datos/</t>
  </si>
  <si>
    <t>Portal de Datos Económicos - Empleo e ingresos</t>
  </si>
  <si>
    <t>Variables económicas varias sobre salarios y mercado de trabajo. Al hacer click en "Descargar datos" tendrán acceso a muchas tablas para utilizar en el TP sobre Argentina</t>
  </si>
  <si>
    <t>SEDLAC</t>
  </si>
  <si>
    <t>Procesamiento del CEDLAS de bases de datos de hogares de América Latina - Temas varios (tipo EPH)</t>
  </si>
  <si>
    <t>CEDLAS</t>
  </si>
  <si>
    <t>https://www.cedlas.econo.unlp.edu.ar/wp/en/estadisticas/sedlac/estadisticas/#1496165617839-180a385e-7592</t>
  </si>
  <si>
    <t>PBG Provincia de Buenos Aires</t>
  </si>
  <si>
    <t>Base de datos con variables económicas de Producto Bruto a nivel municipal en la Provincia de Buenos Aires</t>
  </si>
  <si>
    <t>Gobierno de la Provincia de Buenos Aires</t>
  </si>
  <si>
    <t>https://drive.google.com/drive/u/0/folders/1xt510FQgK-0MK8MfRdWHQvpc9Kc9YOxI</t>
  </si>
  <si>
    <t>PBG Provincial</t>
  </si>
  <si>
    <t>Base de datos de Valor Agregado Bruto por provincia abierto a nivel sectorial</t>
  </si>
  <si>
    <t>CEPAL</t>
  </si>
  <si>
    <t>https://www.cepal.org/es/publicaciones/47900-desagregacion-provincial-valor-agregado-bruto-la-argentina-base-2004</t>
  </si>
  <si>
    <t>Fichas sectoriales</t>
  </si>
  <si>
    <t>Datos desde 2004 hasta 2021 para sectores productivos</t>
  </si>
  <si>
    <t>CEP XXI / MECON</t>
  </si>
  <si>
    <t>https://datos.produccion.gob.ar/dataset/fichas-sectoriales-cep-xxi/archivo/10288f57-c45c-41bb-be96-4d142dec92dc</t>
  </si>
  <si>
    <t>SEPA - Precios Claros</t>
  </si>
  <si>
    <t>Base de datos de precios de productos por boca de venta</t>
  </si>
  <si>
    <t>Secretaría de Comercio</t>
  </si>
  <si>
    <t>https://datos.produccion.gob.ar/dataset/sepa-precios</t>
  </si>
  <si>
    <t>Producción hidrocarburos / Pozos perforados</t>
  </si>
  <si>
    <t>Hidrocarburos en Argentina</t>
  </si>
  <si>
    <t>Secretaría de Energía</t>
  </si>
  <si>
    <t>https://datos.gob.ar/dataset/energia-perforacion-pozos-petroleo-gas</t>
  </si>
  <si>
    <t>Cobertura de ART</t>
  </si>
  <si>
    <t>Empleo y empresas provincial</t>
  </si>
  <si>
    <t>Superintentendencia de Riesgos del Trabajo</t>
  </si>
  <si>
    <r>
      <rPr>
        <u/>
        <sz val="10"/>
        <color rgb="FF1155CC"/>
        <rFont val="Arial"/>
      </rPr>
      <t>https://www.srt.gob.ar/estadisticas/tableros_dinamicos.php</t>
    </r>
    <r>
      <rPr>
        <sz val="10"/>
        <color rgb="FF000000"/>
        <rFont val="Arial"/>
        <scheme val="minor"/>
      </rPr>
      <t xml:space="preserve"> 
</t>
    </r>
    <r>
      <rPr>
        <u/>
        <sz val="10"/>
        <color rgb="FF1155CC"/>
        <rFont val="Arial"/>
      </rPr>
      <t>https://drive.google.com/drive/u/0/folders/1JTIsB4R8dQh_lvFMyGBekfP6FIfHbpxo</t>
    </r>
  </si>
  <si>
    <t>Precios de surtidor</t>
  </si>
  <si>
    <t>Energía</t>
  </si>
  <si>
    <t>https://datos.gob.ar/dataset/energia-precios-surtidor---resolucion-3142016</t>
  </si>
  <si>
    <t>Our World in Data</t>
  </si>
  <si>
    <t>Bases varias sobre el mundo</t>
  </si>
  <si>
    <t>OWID</t>
  </si>
  <si>
    <t>https://ourworldindata.org/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</si>
</sst>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1155CC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4" borderId="0" xfId="0" applyFont="1" applyFill="1"/>
    <xf numFmtId="0" fontId="2" fillId="4" borderId="1" xfId="0" applyFont="1" applyFill="1" applyBorder="1" applyAlignment="1">
      <alignment horizontal="center" vertical="center" wrapText="1"/>
    </xf>
    <xf numFmtId="164" fontId="1" fillId="2" borderId="0" xfId="0" applyNumberFormat="1" applyFont="1" applyFill="1"/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29">
    <dxf>
      <fill>
        <patternFill patternType="solid">
          <fgColor rgb="FFFDE49B"/>
          <bgColor rgb="FF000000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Bibliografía-style" pivot="0" count="4" xr9:uid="{00000000-0011-0000-FFFF-FFFF00000000}">
      <tableStyleElement type="wholeTable" size="0" dxfId="28"/>
      <tableStyleElement type="headerRow" dxfId="27"/>
      <tableStyleElement type="firstRowStripe" dxfId="26"/>
      <tableStyleElement type="secondRowStripe" dxfId="25"/>
    </tableStyle>
    <tableStyle name="Cheatsheets y recursos web-style" pivot="0" count="4" xr9:uid="{00000000-0011-0000-FFFF-FFFF01000000}">
      <tableStyleElement type="wholeTable" size="0" dxfId="24"/>
      <tableStyleElement type="headerRow" dxfId="23"/>
      <tableStyleElement type="firstRowStripe" dxfId="22"/>
      <tableStyleElement type="secondRowStripe" dxfId="21"/>
    </tableStyle>
    <tableStyle name="Bases de datos posibles-style" pivot="0" count="4" xr9:uid="{00000000-0011-0000-FFFF-FFFF02000000}">
      <tableStyleElement type="wholeTable" size="0" dxfId="20"/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C10">
  <tableColumns count="3">
    <tableColumn id="1" xr3:uid="{00000000-0010-0000-0000-000001000000}" name="Libro"/>
    <tableColumn id="2" xr3:uid="{00000000-0010-0000-0000-000002000000}" name="Autor"/>
    <tableColumn id="3" xr3:uid="{00000000-0010-0000-0000-000003000000}" name="Link"/>
  </tableColumns>
  <tableStyleInfo name="Bibliografí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2" displayName="Tabla_2" ref="A1:D4" headerRowDxfId="6" dataDxfId="5">
  <tableColumns count="4">
    <tableColumn id="1" xr3:uid="{00000000-0010-0000-0100-000001000000}" name="Tema" dataDxfId="4"/>
    <tableColumn id="2" xr3:uid="{00000000-0010-0000-0100-000002000000}" name="Utilidad" dataDxfId="3"/>
    <tableColumn id="3" xr3:uid="{00000000-0010-0000-0100-000003000000}" name="Tipo" dataDxfId="2"/>
    <tableColumn id="4" xr3:uid="{00000000-0010-0000-0100-000004000000}" name="URL" dataDxfId="1"/>
  </tableColumns>
  <tableStyleInfo name="Cheatsheets y recursos web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conomic_Base_Sources" displayName="Economic_Base_Sources" ref="A1:E21" headerRowDxfId="16" dataDxfId="14" totalsRowDxfId="12" headerRowBorderDxfId="15" tableBorderDxfId="13">
  <autoFilter ref="A1:E21" xr:uid="{00000000-000C-0000-FFFF-FFFF02000000}"/>
  <sortState xmlns:xlrd2="http://schemas.microsoft.com/office/spreadsheetml/2017/richdata2" ref="A2:E21">
    <sortCondition ref="A1:A21"/>
  </sortState>
  <tableColumns count="5">
    <tableColumn id="1" xr3:uid="{00000000-0010-0000-0200-000001000000}" name="Número" dataDxfId="11"/>
    <tableColumn id="2" xr3:uid="{00000000-0010-0000-0200-000002000000}" name="Nombre" dataDxfId="10"/>
    <tableColumn id="3" xr3:uid="{00000000-0010-0000-0200-000003000000}" name="Tema" dataDxfId="9"/>
    <tableColumn id="4" xr3:uid="{00000000-0010-0000-0200-000004000000}" name="Organismo" dataDxfId="8"/>
    <tableColumn id="5" xr3:uid="{00000000-0010-0000-0200-000005000000}" name="Link" dataDxfId="7"/>
  </tableColumns>
  <tableStyleInfo name="Bases de datos posib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nsidicarocep/curso_cdd_fce_uba_1c2026/tree/main/clases/clase02" TargetMode="External"/><Relationship Id="rId2" Type="http://schemas.openxmlformats.org/officeDocument/2006/relationships/hyperlink" Target="https://github.com/nsidicarocep/curso_cdd_fce_uba_1c2026/tree/main/clases/clase01" TargetMode="External"/><Relationship Id="rId1" Type="http://schemas.openxmlformats.org/officeDocument/2006/relationships/hyperlink" Target="https://github.com/nsidicarocep/curso_cdd_fce_uba_1c2026/tree/main/clases/clase00" TargetMode="External"/><Relationship Id="rId4" Type="http://schemas.openxmlformats.org/officeDocument/2006/relationships/hyperlink" Target="https://github.com/nsidicarocep/curso_cdd_fce_uba_1c2026/tree/main/clases/clase0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nsidicarocep/curso_cdd_fce_uba_1c2026/blob/main/bibliografia/Visualizaci%C3%B3n/Jonathan%20Schwabish%20-%20Better%20Data%20Visualizations_%20A%20Guide%20for%20Scholars%2C%20Researchers%2C%20and%20Wonks%20(2021%2C%20Columbia%20University%20Press)%20-%20libgen.li.pdf" TargetMode="External"/><Relationship Id="rId3" Type="http://schemas.openxmlformats.org/officeDocument/2006/relationships/hyperlink" Target="https://www.biostat.jhsph.edu/~iruczins/teaching/books/2019.openintro.statistics.pdf" TargetMode="External"/><Relationship Id="rId7" Type="http://schemas.openxmlformats.org/officeDocument/2006/relationships/hyperlink" Target="https://drive.google.com/file/d/16DO06LVH0IXhGceHLNSfRLsszXGZFv-2/view?usp=drive_link" TargetMode="External"/><Relationship Id="rId2" Type="http://schemas.openxmlformats.org/officeDocument/2006/relationships/hyperlink" Target="https://otexts.com/fpp2/" TargetMode="External"/><Relationship Id="rId1" Type="http://schemas.openxmlformats.org/officeDocument/2006/relationships/hyperlink" Target="https://r4ds.hadley.nz/" TargetMode="External"/><Relationship Id="rId6" Type="http://schemas.openxmlformats.org/officeDocument/2006/relationships/hyperlink" Target="https://stefvanbuuren.name/fimd/" TargetMode="External"/><Relationship Id="rId5" Type="http://schemas.openxmlformats.org/officeDocument/2006/relationships/hyperlink" Target="https://mlu-explain.github.io/logistic-regression/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mlu-explain.github.io/linear-regression/" TargetMode="External"/><Relationship Id="rId9" Type="http://schemas.openxmlformats.org/officeDocument/2006/relationships/hyperlink" Target="https://carpentries-lab.github.io/good-enough-practices/aio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rstudio.github.io/cheatsheets/tidyr.pdf" TargetMode="External"/><Relationship Id="rId2" Type="http://schemas.openxmlformats.org/officeDocument/2006/relationships/hyperlink" Target="https://rstudio.github.io/cheatsheets/data-import.pdf" TargetMode="External"/><Relationship Id="rId1" Type="http://schemas.openxmlformats.org/officeDocument/2006/relationships/hyperlink" Target="https://rstudio.github.io/cheatsheets/data-transformation.pdf" TargetMode="Externa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tadisticaciudad.gob.ar/eyc/operativos/encuesta-anual-de-hogares-eah/" TargetMode="External"/><Relationship Id="rId13" Type="http://schemas.openxmlformats.org/officeDocument/2006/relationships/hyperlink" Target="https://drive.google.com/drive/u/0/folders/1xt510FQgK-0MK8MfRdWHQvpc9Kc9YOxI" TargetMode="External"/><Relationship Id="rId18" Type="http://schemas.openxmlformats.org/officeDocument/2006/relationships/hyperlink" Target="https://www.srt.gob.ar/estadisticas/tableros_dinamicos.php" TargetMode="External"/><Relationship Id="rId3" Type="http://schemas.openxmlformats.org/officeDocument/2006/relationships/hyperlink" Target="https://www.argentina.gob.ar/trabajo/estadisticas/oede-estadisticas-provinciales" TargetMode="External"/><Relationship Id="rId21" Type="http://schemas.openxmlformats.org/officeDocument/2006/relationships/table" Target="../tables/table3.xml"/><Relationship Id="rId7" Type="http://schemas.openxmlformats.org/officeDocument/2006/relationships/hyperlink" Target="https://www.indec.gob.ar/indec/web/Institucional-Indec-BasesDeDatos" TargetMode="External"/><Relationship Id="rId12" Type="http://schemas.openxmlformats.org/officeDocument/2006/relationships/hyperlink" Target="https://www.cedlas.econo.unlp.edu.ar/wp/en/estadisticas/sedlac/estadisticas/" TargetMode="External"/><Relationship Id="rId17" Type="http://schemas.openxmlformats.org/officeDocument/2006/relationships/hyperlink" Target="https://datos.gob.ar/dataset/energia-perforacion-pozos-petroleo-gas" TargetMode="External"/><Relationship Id="rId2" Type="http://schemas.openxmlformats.org/officeDocument/2006/relationships/hyperlink" Target="https://www.argentina.gob.ar/trabajo/estadisticas/oede-estadisticas-nacionales" TargetMode="External"/><Relationship Id="rId16" Type="http://schemas.openxmlformats.org/officeDocument/2006/relationships/hyperlink" Target="https://datos.produccion.gob.ar/dataset/sepa-precios" TargetMode="External"/><Relationship Id="rId20" Type="http://schemas.openxmlformats.org/officeDocument/2006/relationships/hyperlink" Target="https://ourworldindata.org/" TargetMode="External"/><Relationship Id="rId1" Type="http://schemas.openxmlformats.org/officeDocument/2006/relationships/hyperlink" Target="https://www.indec.gob.ar/indec/web/Nivel4-Tema-3-9-49" TargetMode="External"/><Relationship Id="rId6" Type="http://schemas.openxmlformats.org/officeDocument/2006/relationships/hyperlink" Target="https://argendata.fund.ar/topico/industria/" TargetMode="External"/><Relationship Id="rId11" Type="http://schemas.openxmlformats.org/officeDocument/2006/relationships/hyperlink" Target="https://www.economia.gob.ar/datos/" TargetMode="External"/><Relationship Id="rId5" Type="http://schemas.openxmlformats.org/officeDocument/2006/relationships/hyperlink" Target="https://www.wto.org/english/res_e/statis_e/gstdh_batis_e.htm" TargetMode="External"/><Relationship Id="rId15" Type="http://schemas.openxmlformats.org/officeDocument/2006/relationships/hyperlink" Target="https://datos.produccion.gob.ar/dataset/fichas-sectoriales-cep-xxi/archivo/10288f57-c45c-41bb-be96-4d142dec92dc" TargetMode="External"/><Relationship Id="rId10" Type="http://schemas.openxmlformats.org/officeDocument/2006/relationships/hyperlink" Target="https://www.economia.gob.ar/datos/" TargetMode="External"/><Relationship Id="rId19" Type="http://schemas.openxmlformats.org/officeDocument/2006/relationships/hyperlink" Target="https://datos.gob.ar/dataset/energia-precios-surtidor---resolucion-3142016" TargetMode="External"/><Relationship Id="rId4" Type="http://schemas.openxmlformats.org/officeDocument/2006/relationships/hyperlink" Target="https://www.cepii.fr/CEPII/en/bdd_modele/bdd_modele_item.asp?id=37" TargetMode="External"/><Relationship Id="rId9" Type="http://schemas.openxmlformats.org/officeDocument/2006/relationships/hyperlink" Target="https://databank.worldbank.org/source/world-development-indicators" TargetMode="External"/><Relationship Id="rId14" Type="http://schemas.openxmlformats.org/officeDocument/2006/relationships/hyperlink" Target="https://www.cepal.org/es/publicaciones/47900-desagregacion-provincial-valor-agregado-bruto-la-argentina-base-20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36"/>
  <sheetViews>
    <sheetView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/>
    </sheetView>
  </sheetViews>
  <sheetFormatPr defaultColWidth="12.5703125" defaultRowHeight="15.75" customHeight="1"/>
  <cols>
    <col min="1" max="1" width="2" customWidth="1"/>
    <col min="2" max="2" width="7.7109375" customWidth="1"/>
    <col min="3" max="3" width="11.28515625" bestFit="1" customWidth="1"/>
    <col min="4" max="4" width="8.42578125" bestFit="1" customWidth="1"/>
    <col min="5" max="5" width="10.42578125" customWidth="1"/>
    <col min="6" max="6" width="14" customWidth="1"/>
    <col min="7" max="7" width="61.85546875" customWidth="1"/>
    <col min="8" max="8" width="80.28515625" customWidth="1"/>
    <col min="9" max="9" width="27.28515625" customWidth="1"/>
    <col min="10" max="10" width="17.28515625" customWidth="1"/>
    <col min="11" max="11" width="41.42578125" customWidth="1"/>
    <col min="12" max="12" width="15.42578125" customWidth="1"/>
    <col min="13" max="13" width="1.5703125" customWidth="1"/>
  </cols>
  <sheetData>
    <row r="1" spans="1:13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38.25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0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2" t="s">
        <v>10</v>
      </c>
    </row>
    <row r="3" spans="1:13" ht="25.5">
      <c r="A3" s="1"/>
      <c r="B3" s="4">
        <v>0</v>
      </c>
      <c r="C3" s="5">
        <v>46094</v>
      </c>
      <c r="D3" s="4" t="str">
        <f>_xlfn.SWITCH(WEEKDAY(C3,1), 1, "Domingo", 2, "Lunes", 3, "Martes", 4, "Miércoles", 5, "Jueves", 6, "Viernes", 7, "Sábado")</f>
        <v>Viernes</v>
      </c>
      <c r="E3" s="4" t="str">
        <f>IF(D3="Martes","Teórica","Práctica")</f>
        <v>Práctica</v>
      </c>
      <c r="F3" s="4" t="s">
        <v>11</v>
      </c>
      <c r="G3" s="4" t="s">
        <v>12</v>
      </c>
      <c r="H3" s="4" t="s">
        <v>13</v>
      </c>
      <c r="I3" s="4" t="s">
        <v>14</v>
      </c>
      <c r="J3" s="4"/>
      <c r="K3" s="4"/>
      <c r="L3" s="6" t="s">
        <v>15</v>
      </c>
      <c r="M3" s="2"/>
    </row>
    <row r="4" spans="1:13" ht="25.5">
      <c r="A4" s="1"/>
      <c r="B4" s="4">
        <v>1</v>
      </c>
      <c r="C4" s="5">
        <v>46098</v>
      </c>
      <c r="D4" s="4" t="str">
        <f t="shared" ref="D4:D35" si="0">_xlfn.SWITCH(WEEKDAY(C4,1), 1, "Domingo", 2, "Lunes", 3, "Martes", 4, "Miércoles", 5, "Jueves", 6, "Viernes", 7, "Sábado")</f>
        <v>Martes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/>
      <c r="K4" s="4"/>
      <c r="L4" s="6" t="s">
        <v>21</v>
      </c>
      <c r="M4" s="2"/>
    </row>
    <row r="5" spans="1:13" ht="25.5">
      <c r="A5" s="1"/>
      <c r="B5" s="4">
        <v>2</v>
      </c>
      <c r="C5" s="5">
        <v>46101</v>
      </c>
      <c r="D5" s="4" t="str">
        <f t="shared" si="0"/>
        <v>Viernes</v>
      </c>
      <c r="E5" s="4" t="s">
        <v>22</v>
      </c>
      <c r="F5" s="4" t="s">
        <v>17</v>
      </c>
      <c r="G5" s="4" t="s">
        <v>23</v>
      </c>
      <c r="H5" s="4" t="s">
        <v>24</v>
      </c>
      <c r="I5" s="4" t="s">
        <v>14</v>
      </c>
      <c r="J5" s="4"/>
      <c r="K5" s="4" t="s">
        <v>25</v>
      </c>
      <c r="L5" s="6" t="s">
        <v>26</v>
      </c>
      <c r="M5" s="2"/>
    </row>
    <row r="6" spans="1:13" ht="12.75">
      <c r="A6" s="1"/>
      <c r="B6" s="7"/>
      <c r="C6" s="8">
        <v>46105</v>
      </c>
      <c r="D6" s="7" t="str">
        <f t="shared" si="0"/>
        <v>Martes</v>
      </c>
      <c r="E6" s="7" t="s">
        <v>27</v>
      </c>
      <c r="F6" s="7" t="s">
        <v>28</v>
      </c>
      <c r="G6" s="7" t="s">
        <v>27</v>
      </c>
      <c r="H6" s="7" t="s">
        <v>27</v>
      </c>
      <c r="I6" s="7" t="s">
        <v>27</v>
      </c>
      <c r="J6" s="7" t="s">
        <v>28</v>
      </c>
      <c r="K6" s="7" t="s">
        <v>27</v>
      </c>
      <c r="L6" s="7" t="s">
        <v>27</v>
      </c>
      <c r="M6" s="2"/>
    </row>
    <row r="7" spans="1:13" ht="25.5">
      <c r="A7" s="1"/>
      <c r="B7" s="4">
        <v>3</v>
      </c>
      <c r="C7" s="5">
        <v>46108</v>
      </c>
      <c r="D7" s="4" t="str">
        <f t="shared" si="0"/>
        <v>Viernes</v>
      </c>
      <c r="E7" s="4" t="str">
        <f>IF(D7="Martes","Teórica","Práctica")</f>
        <v>Práctica</v>
      </c>
      <c r="F7" s="4" t="s">
        <v>17</v>
      </c>
      <c r="G7" s="4" t="s">
        <v>29</v>
      </c>
      <c r="H7" s="4" t="s">
        <v>30</v>
      </c>
      <c r="I7" s="4" t="s">
        <v>14</v>
      </c>
      <c r="J7" s="4"/>
      <c r="K7" s="4" t="s">
        <v>31</v>
      </c>
      <c r="L7" s="6" t="s">
        <v>32</v>
      </c>
      <c r="M7" s="2"/>
    </row>
    <row r="8" spans="1:13" ht="38.25">
      <c r="A8" s="1"/>
      <c r="B8" s="4">
        <v>4</v>
      </c>
      <c r="C8" s="5">
        <v>46112</v>
      </c>
      <c r="D8" s="4" t="str">
        <f t="shared" si="0"/>
        <v>Martes</v>
      </c>
      <c r="E8" s="4" t="s">
        <v>16</v>
      </c>
      <c r="F8" s="4" t="s">
        <v>17</v>
      </c>
      <c r="G8" s="4" t="s">
        <v>33</v>
      </c>
      <c r="H8" s="4" t="s">
        <v>34</v>
      </c>
      <c r="I8" s="4" t="s">
        <v>20</v>
      </c>
      <c r="J8" s="4"/>
      <c r="K8" s="4" t="s">
        <v>35</v>
      </c>
      <c r="L8" s="4"/>
      <c r="M8" s="2"/>
    </row>
    <row r="9" spans="1:13" ht="12.75">
      <c r="A9" s="1"/>
      <c r="B9" s="7"/>
      <c r="C9" s="8">
        <v>46115</v>
      </c>
      <c r="D9" s="7" t="str">
        <f t="shared" si="0"/>
        <v>Viernes</v>
      </c>
      <c r="E9" s="7" t="s">
        <v>27</v>
      </c>
      <c r="F9" s="7" t="s">
        <v>28</v>
      </c>
      <c r="G9" s="7" t="s">
        <v>27</v>
      </c>
      <c r="H9" s="7" t="s">
        <v>27</v>
      </c>
      <c r="I9" s="7" t="s">
        <v>27</v>
      </c>
      <c r="J9" s="7" t="s">
        <v>28</v>
      </c>
      <c r="K9" s="7" t="s">
        <v>27</v>
      </c>
      <c r="L9" s="7" t="s">
        <v>27</v>
      </c>
      <c r="M9" s="2"/>
    </row>
    <row r="10" spans="1:13" ht="38.25">
      <c r="A10" s="1"/>
      <c r="B10" s="4">
        <v>5</v>
      </c>
      <c r="C10" s="5">
        <v>46119</v>
      </c>
      <c r="D10" s="4" t="str">
        <f t="shared" si="0"/>
        <v>Martes</v>
      </c>
      <c r="E10" s="4" t="str">
        <f t="shared" ref="E10:E16" si="1">IF(D10="Martes","Teórica","Práctica")</f>
        <v>Teórica</v>
      </c>
      <c r="F10" s="4" t="s">
        <v>36</v>
      </c>
      <c r="G10" s="4" t="s">
        <v>37</v>
      </c>
      <c r="H10" s="4" t="s">
        <v>38</v>
      </c>
      <c r="I10" s="4" t="s">
        <v>20</v>
      </c>
      <c r="J10" s="4"/>
      <c r="K10" s="4" t="s">
        <v>39</v>
      </c>
      <c r="L10" s="4"/>
      <c r="M10" s="2"/>
    </row>
    <row r="11" spans="1:13" ht="51">
      <c r="A11" s="1"/>
      <c r="B11" s="4">
        <v>6</v>
      </c>
      <c r="C11" s="5">
        <v>46122</v>
      </c>
      <c r="D11" s="4" t="str">
        <f t="shared" si="0"/>
        <v>Viernes</v>
      </c>
      <c r="E11" s="4" t="str">
        <f t="shared" si="1"/>
        <v>Práctica</v>
      </c>
      <c r="F11" s="4" t="s">
        <v>17</v>
      </c>
      <c r="G11" s="4" t="s">
        <v>40</v>
      </c>
      <c r="H11" s="4" t="s">
        <v>41</v>
      </c>
      <c r="I11" s="4" t="s">
        <v>14</v>
      </c>
      <c r="J11" s="4"/>
      <c r="K11" s="4" t="s">
        <v>42</v>
      </c>
      <c r="L11" s="4"/>
      <c r="M11" s="2"/>
    </row>
    <row r="12" spans="1:13" ht="38.25">
      <c r="A12" s="1"/>
      <c r="B12" s="4">
        <v>7</v>
      </c>
      <c r="C12" s="5">
        <v>46126</v>
      </c>
      <c r="D12" s="4" t="str">
        <f t="shared" si="0"/>
        <v>Martes</v>
      </c>
      <c r="E12" s="4" t="str">
        <f t="shared" si="1"/>
        <v>Teórica</v>
      </c>
      <c r="F12" s="4" t="s">
        <v>36</v>
      </c>
      <c r="G12" s="4" t="s">
        <v>43</v>
      </c>
      <c r="H12" s="4" t="s">
        <v>44</v>
      </c>
      <c r="I12" s="4" t="s">
        <v>20</v>
      </c>
      <c r="J12" s="9"/>
      <c r="K12" s="4" t="s">
        <v>45</v>
      </c>
      <c r="L12" s="4"/>
      <c r="M12" s="2"/>
    </row>
    <row r="13" spans="1:13" ht="37.5" customHeight="1">
      <c r="A13" s="1"/>
      <c r="B13" s="10">
        <v>8</v>
      </c>
      <c r="C13" s="11">
        <v>46129</v>
      </c>
      <c r="D13" s="10" t="str">
        <f t="shared" si="0"/>
        <v>Viernes</v>
      </c>
      <c r="E13" s="10" t="str">
        <f t="shared" si="1"/>
        <v>Práctica</v>
      </c>
      <c r="F13" s="10" t="s">
        <v>36</v>
      </c>
      <c r="G13" s="10" t="s">
        <v>46</v>
      </c>
      <c r="H13" s="10" t="s">
        <v>47</v>
      </c>
      <c r="I13" s="10" t="s">
        <v>14</v>
      </c>
      <c r="J13" s="10" t="s">
        <v>48</v>
      </c>
      <c r="K13" s="10"/>
      <c r="L13" s="10"/>
      <c r="M13" s="2"/>
    </row>
    <row r="14" spans="1:13" ht="38.25">
      <c r="A14" s="1"/>
      <c r="B14" s="4">
        <v>9</v>
      </c>
      <c r="C14" s="5">
        <v>46133</v>
      </c>
      <c r="D14" s="4" t="str">
        <f t="shared" si="0"/>
        <v>Martes</v>
      </c>
      <c r="E14" s="4" t="str">
        <f t="shared" si="1"/>
        <v>Teórica</v>
      </c>
      <c r="F14" s="4" t="s">
        <v>36</v>
      </c>
      <c r="G14" s="4" t="s">
        <v>49</v>
      </c>
      <c r="H14" s="4" t="s">
        <v>50</v>
      </c>
      <c r="I14" s="4" t="s">
        <v>20</v>
      </c>
      <c r="J14" s="3"/>
      <c r="K14" s="4" t="s">
        <v>51</v>
      </c>
      <c r="L14" s="4"/>
      <c r="M14" s="2"/>
    </row>
    <row r="15" spans="1:13" ht="25.5">
      <c r="A15" s="1"/>
      <c r="B15" s="4">
        <v>10</v>
      </c>
      <c r="C15" s="5">
        <v>46136</v>
      </c>
      <c r="D15" s="4" t="str">
        <f t="shared" si="0"/>
        <v>Viernes</v>
      </c>
      <c r="E15" s="4" t="str">
        <f t="shared" si="1"/>
        <v>Práctica</v>
      </c>
      <c r="F15" s="4" t="s">
        <v>36</v>
      </c>
      <c r="G15" s="4" t="s">
        <v>52</v>
      </c>
      <c r="H15" s="4" t="s">
        <v>53</v>
      </c>
      <c r="I15" s="4" t="s">
        <v>14</v>
      </c>
      <c r="J15" s="4"/>
      <c r="K15" s="4"/>
      <c r="L15" s="4"/>
      <c r="M15" s="2"/>
    </row>
    <row r="16" spans="1:13" ht="38.25">
      <c r="A16" s="1"/>
      <c r="B16" s="4">
        <v>11</v>
      </c>
      <c r="C16" s="5">
        <v>46140</v>
      </c>
      <c r="D16" s="4" t="str">
        <f t="shared" si="0"/>
        <v>Martes</v>
      </c>
      <c r="E16" s="4" t="str">
        <f t="shared" si="1"/>
        <v>Teórica</v>
      </c>
      <c r="F16" s="4" t="s">
        <v>17</v>
      </c>
      <c r="G16" s="4" t="s">
        <v>54</v>
      </c>
      <c r="H16" s="4" t="s">
        <v>55</v>
      </c>
      <c r="I16" s="4" t="s">
        <v>20</v>
      </c>
      <c r="J16" s="12"/>
      <c r="K16" s="4" t="s">
        <v>56</v>
      </c>
      <c r="L16" s="4"/>
      <c r="M16" s="2"/>
    </row>
    <row r="17" spans="1:13" ht="12.75">
      <c r="A17" s="1"/>
      <c r="B17" s="7"/>
      <c r="C17" s="8">
        <v>46143</v>
      </c>
      <c r="D17" s="7" t="str">
        <f t="shared" si="0"/>
        <v>Viernes</v>
      </c>
      <c r="E17" s="7" t="s">
        <v>27</v>
      </c>
      <c r="F17" s="7" t="s">
        <v>28</v>
      </c>
      <c r="G17" s="7" t="s">
        <v>27</v>
      </c>
      <c r="H17" s="7" t="s">
        <v>27</v>
      </c>
      <c r="I17" s="7" t="s">
        <v>27</v>
      </c>
      <c r="J17" s="7" t="s">
        <v>28</v>
      </c>
      <c r="K17" s="7" t="s">
        <v>27</v>
      </c>
      <c r="L17" s="7" t="s">
        <v>27</v>
      </c>
      <c r="M17" s="2"/>
    </row>
    <row r="18" spans="1:13" ht="38.25">
      <c r="A18" s="1"/>
      <c r="B18" s="4">
        <v>12</v>
      </c>
      <c r="C18" s="5">
        <v>46147</v>
      </c>
      <c r="D18" s="4" t="str">
        <f t="shared" si="0"/>
        <v>Martes</v>
      </c>
      <c r="E18" s="4" t="str">
        <f t="shared" ref="E18:E19" si="2">IF(D18="Martes","Teórica","Práctica")</f>
        <v>Teórica</v>
      </c>
      <c r="F18" s="4" t="s">
        <v>36</v>
      </c>
      <c r="G18" s="4" t="s">
        <v>57</v>
      </c>
      <c r="H18" s="4" t="s">
        <v>58</v>
      </c>
      <c r="I18" s="4" t="s">
        <v>20</v>
      </c>
      <c r="J18" s="4"/>
      <c r="K18" s="4" t="s">
        <v>59</v>
      </c>
      <c r="L18" s="4"/>
      <c r="M18" s="2"/>
    </row>
    <row r="19" spans="1:13" ht="38.25">
      <c r="A19" s="1"/>
      <c r="B19" s="4">
        <v>13</v>
      </c>
      <c r="C19" s="5">
        <v>46150</v>
      </c>
      <c r="D19" s="4" t="str">
        <f t="shared" si="0"/>
        <v>Viernes</v>
      </c>
      <c r="E19" s="4" t="str">
        <f t="shared" si="2"/>
        <v>Práctica</v>
      </c>
      <c r="F19" s="4" t="s">
        <v>17</v>
      </c>
      <c r="G19" s="4" t="s">
        <v>60</v>
      </c>
      <c r="H19" s="4" t="s">
        <v>61</v>
      </c>
      <c r="I19" s="4" t="s">
        <v>14</v>
      </c>
      <c r="K19" s="4" t="s">
        <v>62</v>
      </c>
      <c r="L19" s="4"/>
      <c r="M19" s="2"/>
    </row>
    <row r="20" spans="1:13" ht="76.5">
      <c r="A20" s="1"/>
      <c r="B20" s="4">
        <v>14</v>
      </c>
      <c r="C20" s="5">
        <v>46154</v>
      </c>
      <c r="D20" s="4" t="str">
        <f t="shared" si="0"/>
        <v>Martes</v>
      </c>
      <c r="E20" s="4" t="s">
        <v>63</v>
      </c>
      <c r="F20" s="4" t="s">
        <v>36</v>
      </c>
      <c r="G20" s="4" t="s">
        <v>64</v>
      </c>
      <c r="H20" s="4" t="s">
        <v>65</v>
      </c>
      <c r="I20" s="4" t="s">
        <v>20</v>
      </c>
      <c r="J20" s="4"/>
      <c r="K20" s="4" t="s">
        <v>66</v>
      </c>
      <c r="L20" s="4"/>
      <c r="M20" s="2"/>
    </row>
    <row r="21" spans="1:13" ht="25.5">
      <c r="A21" s="1"/>
      <c r="B21" s="4">
        <v>15</v>
      </c>
      <c r="C21" s="5">
        <v>46157</v>
      </c>
      <c r="D21" s="4" t="str">
        <f t="shared" si="0"/>
        <v>Viernes</v>
      </c>
      <c r="E21" s="4" t="s">
        <v>63</v>
      </c>
      <c r="F21" s="4" t="s">
        <v>36</v>
      </c>
      <c r="G21" s="4" t="s">
        <v>67</v>
      </c>
      <c r="H21" s="4" t="s">
        <v>68</v>
      </c>
      <c r="I21" s="4" t="s">
        <v>14</v>
      </c>
      <c r="J21" s="4"/>
      <c r="K21" s="4" t="s">
        <v>69</v>
      </c>
      <c r="L21" s="4"/>
      <c r="M21" s="2"/>
    </row>
    <row r="22" spans="1:13" ht="76.5">
      <c r="A22" s="1"/>
      <c r="B22" s="4">
        <v>16</v>
      </c>
      <c r="C22" s="5">
        <v>46161</v>
      </c>
      <c r="D22" s="4" t="str">
        <f t="shared" si="0"/>
        <v>Martes</v>
      </c>
      <c r="E22" s="4" t="str">
        <f t="shared" ref="E22:E34" si="3">IF(D22="Martes","Teórica","Práctica")</f>
        <v>Teórica</v>
      </c>
      <c r="F22" s="4" t="s">
        <v>70</v>
      </c>
      <c r="G22" s="4" t="s">
        <v>71</v>
      </c>
      <c r="H22" s="4" t="s">
        <v>72</v>
      </c>
      <c r="I22" s="4" t="s">
        <v>20</v>
      </c>
      <c r="J22" s="4"/>
      <c r="K22" s="4"/>
      <c r="L22" s="4"/>
      <c r="M22" s="2"/>
    </row>
    <row r="23" spans="1:13" ht="12.75">
      <c r="A23" s="1"/>
      <c r="B23" s="4">
        <v>17</v>
      </c>
      <c r="C23" s="5">
        <v>46164</v>
      </c>
      <c r="D23" s="4" t="str">
        <f t="shared" si="0"/>
        <v>Viernes</v>
      </c>
      <c r="E23" s="4" t="str">
        <f t="shared" si="3"/>
        <v>Práctica</v>
      </c>
      <c r="F23" s="4" t="s">
        <v>70</v>
      </c>
      <c r="G23" s="4" t="s">
        <v>73</v>
      </c>
      <c r="H23" s="4" t="s">
        <v>74</v>
      </c>
      <c r="I23" s="4" t="s">
        <v>14</v>
      </c>
      <c r="J23" s="4"/>
      <c r="K23" s="4"/>
      <c r="L23" s="4"/>
      <c r="M23" s="2"/>
    </row>
    <row r="24" spans="1:13" ht="76.5">
      <c r="A24" s="1"/>
      <c r="B24" s="10">
        <v>18</v>
      </c>
      <c r="C24" s="11">
        <v>46168</v>
      </c>
      <c r="D24" s="10" t="str">
        <f t="shared" si="0"/>
        <v>Martes</v>
      </c>
      <c r="E24" s="10" t="str">
        <f t="shared" si="3"/>
        <v>Teórica</v>
      </c>
      <c r="F24" s="10" t="s">
        <v>75</v>
      </c>
      <c r="G24" s="10" t="s">
        <v>76</v>
      </c>
      <c r="H24" s="10" t="s">
        <v>77</v>
      </c>
      <c r="I24" s="10" t="s">
        <v>20</v>
      </c>
      <c r="J24" s="10" t="s">
        <v>78</v>
      </c>
      <c r="K24" s="10" t="s">
        <v>79</v>
      </c>
      <c r="L24" s="10"/>
      <c r="M24" s="2"/>
    </row>
    <row r="25" spans="1:13" ht="25.5">
      <c r="A25" s="1"/>
      <c r="B25" s="4">
        <v>19</v>
      </c>
      <c r="C25" s="5">
        <v>46171</v>
      </c>
      <c r="D25" s="4" t="str">
        <f t="shared" si="0"/>
        <v>Viernes</v>
      </c>
      <c r="E25" s="4" t="str">
        <f t="shared" si="3"/>
        <v>Práctica</v>
      </c>
      <c r="F25" s="4" t="s">
        <v>75</v>
      </c>
      <c r="G25" s="4" t="s">
        <v>80</v>
      </c>
      <c r="H25" s="4" t="s">
        <v>81</v>
      </c>
      <c r="I25" s="4" t="s">
        <v>14</v>
      </c>
      <c r="J25" s="4"/>
      <c r="K25" s="4" t="s">
        <v>82</v>
      </c>
      <c r="L25" s="4"/>
      <c r="M25" s="2"/>
    </row>
    <row r="26" spans="1:13" ht="38.25">
      <c r="A26" s="1"/>
      <c r="B26" s="4">
        <v>20</v>
      </c>
      <c r="C26" s="5">
        <v>46175</v>
      </c>
      <c r="D26" s="4" t="str">
        <f t="shared" si="0"/>
        <v>Martes</v>
      </c>
      <c r="E26" s="4" t="str">
        <f t="shared" si="3"/>
        <v>Teórica</v>
      </c>
      <c r="F26" s="4" t="s">
        <v>75</v>
      </c>
      <c r="G26" s="4" t="s">
        <v>83</v>
      </c>
      <c r="H26" s="4" t="s">
        <v>84</v>
      </c>
      <c r="I26" s="4" t="s">
        <v>20</v>
      </c>
      <c r="J26" s="4"/>
      <c r="K26" s="4" t="s">
        <v>85</v>
      </c>
      <c r="L26" s="4"/>
      <c r="M26" s="2"/>
    </row>
    <row r="27" spans="1:13" ht="25.5">
      <c r="A27" s="1"/>
      <c r="B27" s="4">
        <v>21</v>
      </c>
      <c r="C27" s="5">
        <v>46178</v>
      </c>
      <c r="D27" s="4" t="str">
        <f t="shared" si="0"/>
        <v>Viernes</v>
      </c>
      <c r="E27" s="4" t="str">
        <f t="shared" si="3"/>
        <v>Práctica</v>
      </c>
      <c r="F27" s="4" t="s">
        <v>75</v>
      </c>
      <c r="G27" s="4" t="s">
        <v>86</v>
      </c>
      <c r="H27" s="4" t="s">
        <v>87</v>
      </c>
      <c r="I27" s="4" t="s">
        <v>14</v>
      </c>
      <c r="J27" s="4"/>
      <c r="K27" s="4" t="s">
        <v>88</v>
      </c>
      <c r="L27" s="4"/>
      <c r="M27" s="2"/>
    </row>
    <row r="28" spans="1:13" ht="12.75">
      <c r="A28" s="1"/>
      <c r="B28" s="4">
        <v>22</v>
      </c>
      <c r="C28" s="5">
        <v>46182</v>
      </c>
      <c r="D28" s="4" t="str">
        <f t="shared" si="0"/>
        <v>Martes</v>
      </c>
      <c r="E28" s="4" t="str">
        <f t="shared" si="3"/>
        <v>Teórica</v>
      </c>
      <c r="F28" s="4" t="s">
        <v>75</v>
      </c>
      <c r="G28" s="4" t="s">
        <v>89</v>
      </c>
      <c r="H28" s="4" t="s">
        <v>90</v>
      </c>
      <c r="I28" s="4" t="s">
        <v>20</v>
      </c>
      <c r="J28" s="4"/>
      <c r="K28" s="4"/>
      <c r="L28" s="4"/>
      <c r="M28" s="2"/>
    </row>
    <row r="29" spans="1:13" ht="63.75">
      <c r="A29" s="1"/>
      <c r="B29" s="10">
        <v>23</v>
      </c>
      <c r="C29" s="11">
        <v>46185</v>
      </c>
      <c r="D29" s="10" t="str">
        <f t="shared" si="0"/>
        <v>Viernes</v>
      </c>
      <c r="E29" s="10" t="str">
        <f t="shared" si="3"/>
        <v>Práctica</v>
      </c>
      <c r="F29" s="10" t="s">
        <v>91</v>
      </c>
      <c r="G29" s="10" t="s">
        <v>92</v>
      </c>
      <c r="H29" s="10" t="s">
        <v>93</v>
      </c>
      <c r="I29" s="10" t="s">
        <v>14</v>
      </c>
      <c r="J29" s="10" t="s">
        <v>94</v>
      </c>
      <c r="K29" s="10"/>
      <c r="L29" s="10"/>
      <c r="M29" s="2"/>
    </row>
    <row r="30" spans="1:13" ht="25.5">
      <c r="A30" s="1"/>
      <c r="B30" s="4">
        <v>24</v>
      </c>
      <c r="C30" s="5">
        <v>46189</v>
      </c>
      <c r="D30" s="4" t="str">
        <f t="shared" si="0"/>
        <v>Martes</v>
      </c>
      <c r="E30" s="4" t="str">
        <f t="shared" si="3"/>
        <v>Teórica</v>
      </c>
      <c r="F30" s="4" t="s">
        <v>91</v>
      </c>
      <c r="G30" s="4" t="s">
        <v>95</v>
      </c>
      <c r="H30" s="4" t="s">
        <v>96</v>
      </c>
      <c r="I30" s="4" t="s">
        <v>20</v>
      </c>
      <c r="J30" s="4"/>
      <c r="K30" s="4"/>
      <c r="L30" s="4"/>
      <c r="M30" s="2"/>
    </row>
    <row r="31" spans="1:13" ht="38.25">
      <c r="A31" s="1"/>
      <c r="B31" s="4">
        <v>25</v>
      </c>
      <c r="C31" s="5">
        <v>46192</v>
      </c>
      <c r="D31" s="4" t="str">
        <f t="shared" si="0"/>
        <v>Viernes</v>
      </c>
      <c r="E31" s="4" t="str">
        <f t="shared" si="3"/>
        <v>Práctica</v>
      </c>
      <c r="F31" s="4" t="s">
        <v>97</v>
      </c>
      <c r="G31" s="4" t="s">
        <v>98</v>
      </c>
      <c r="H31" s="4" t="s">
        <v>99</v>
      </c>
      <c r="I31" s="4" t="s">
        <v>14</v>
      </c>
      <c r="J31" s="4"/>
      <c r="K31" s="4" t="s">
        <v>100</v>
      </c>
      <c r="L31" s="4"/>
      <c r="M31" s="2"/>
    </row>
    <row r="32" spans="1:13" ht="63.75">
      <c r="A32" s="1"/>
      <c r="B32" s="10">
        <v>26</v>
      </c>
      <c r="C32" s="11">
        <v>46196</v>
      </c>
      <c r="D32" s="10" t="str">
        <f t="shared" si="0"/>
        <v>Martes</v>
      </c>
      <c r="E32" s="10" t="str">
        <f t="shared" si="3"/>
        <v>Teórica</v>
      </c>
      <c r="F32" s="10" t="s">
        <v>97</v>
      </c>
      <c r="G32" s="10" t="s">
        <v>101</v>
      </c>
      <c r="H32" s="10" t="s">
        <v>102</v>
      </c>
      <c r="I32" s="10" t="s">
        <v>20</v>
      </c>
      <c r="J32" s="10" t="s">
        <v>103</v>
      </c>
      <c r="K32" s="10"/>
      <c r="L32" s="10"/>
      <c r="M32" s="2"/>
    </row>
    <row r="33" spans="1:13" ht="76.5">
      <c r="A33" s="1"/>
      <c r="B33" s="10">
        <v>27</v>
      </c>
      <c r="C33" s="11">
        <v>46199</v>
      </c>
      <c r="D33" s="10" t="str">
        <f t="shared" si="0"/>
        <v>Viernes</v>
      </c>
      <c r="E33" s="10" t="str">
        <f t="shared" si="3"/>
        <v>Práctica</v>
      </c>
      <c r="F33" s="10" t="s">
        <v>97</v>
      </c>
      <c r="G33" s="10" t="s">
        <v>104</v>
      </c>
      <c r="H33" s="10" t="s">
        <v>105</v>
      </c>
      <c r="I33" s="10" t="s">
        <v>14</v>
      </c>
      <c r="J33" s="10" t="s">
        <v>106</v>
      </c>
      <c r="K33" s="10"/>
      <c r="L33" s="10"/>
      <c r="M33" s="2"/>
    </row>
    <row r="34" spans="1:13" ht="25.5">
      <c r="A34" s="1"/>
      <c r="B34" s="10">
        <v>28</v>
      </c>
      <c r="C34" s="11">
        <v>46203</v>
      </c>
      <c r="D34" s="10" t="str">
        <f t="shared" si="0"/>
        <v>Martes</v>
      </c>
      <c r="E34" s="10" t="str">
        <f t="shared" si="3"/>
        <v>Teórica</v>
      </c>
      <c r="F34" s="10" t="s">
        <v>97</v>
      </c>
      <c r="G34" s="10" t="s">
        <v>107</v>
      </c>
      <c r="H34" s="10" t="s">
        <v>108</v>
      </c>
      <c r="I34" s="10" t="s">
        <v>20</v>
      </c>
      <c r="J34" s="13"/>
      <c r="K34" s="10"/>
      <c r="L34" s="10"/>
      <c r="M34" s="2"/>
    </row>
    <row r="35" spans="1:13" ht="38.25">
      <c r="A35" s="1"/>
      <c r="B35" s="10">
        <v>29</v>
      </c>
      <c r="C35" s="11">
        <v>46206</v>
      </c>
      <c r="D35" s="10" t="str">
        <f t="shared" si="0"/>
        <v>Viernes</v>
      </c>
      <c r="E35" s="10" t="s">
        <v>109</v>
      </c>
      <c r="F35" s="10" t="s">
        <v>110</v>
      </c>
      <c r="G35" s="10" t="s">
        <v>111</v>
      </c>
      <c r="H35" s="10" t="s">
        <v>111</v>
      </c>
      <c r="I35" s="10" t="s">
        <v>14</v>
      </c>
      <c r="J35" s="10" t="s">
        <v>112</v>
      </c>
      <c r="K35" s="14"/>
      <c r="L35" s="14"/>
      <c r="M35" s="2"/>
    </row>
    <row r="36" spans="1:13" ht="6" customHeight="1">
      <c r="A36" s="1"/>
      <c r="B36" s="15"/>
      <c r="C36" s="15"/>
      <c r="D36" s="2"/>
      <c r="E36" s="2"/>
      <c r="F36" s="2"/>
      <c r="G36" s="2"/>
      <c r="H36" s="2"/>
      <c r="I36" s="16"/>
      <c r="J36" s="2"/>
      <c r="K36" s="2"/>
      <c r="L36" s="2"/>
      <c r="M36" s="2"/>
    </row>
  </sheetData>
  <hyperlinks>
    <hyperlink ref="L3" r:id="rId1" xr:uid="{00000000-0004-0000-0000-000000000000}"/>
    <hyperlink ref="L4" r:id="rId2" xr:uid="{00000000-0004-0000-0000-000001000000}"/>
    <hyperlink ref="L5" r:id="rId3" xr:uid="{00000000-0004-0000-0000-000002000000}"/>
    <hyperlink ref="L7" r:id="rId4" xr:uid="{00000000-0004-0000-0000-000003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"/>
  <sheetViews>
    <sheetView workbookViewId="0">
      <pane ySplit="1" topLeftCell="A2" activePane="bottomLeft" state="frozen"/>
      <selection pane="bottomLeft"/>
    </sheetView>
  </sheetViews>
  <sheetFormatPr defaultColWidth="12.5703125" defaultRowHeight="15.75" customHeight="1"/>
  <cols>
    <col min="1" max="1" width="46.85546875" customWidth="1"/>
    <col min="2" max="2" width="36.42578125" customWidth="1"/>
    <col min="3" max="3" width="30.7109375" customWidth="1"/>
  </cols>
  <sheetData>
    <row r="1" spans="1:3" ht="22.5" customHeight="1">
      <c r="A1" s="17" t="s">
        <v>113</v>
      </c>
      <c r="B1" s="17" t="s">
        <v>114</v>
      </c>
      <c r="C1" s="17" t="s">
        <v>115</v>
      </c>
    </row>
    <row r="2" spans="1:3" ht="25.5">
      <c r="A2" s="4" t="s">
        <v>116</v>
      </c>
      <c r="B2" s="4" t="s">
        <v>117</v>
      </c>
      <c r="C2" s="18" t="s">
        <v>118</v>
      </c>
    </row>
    <row r="3" spans="1:3" ht="12.75">
      <c r="A3" s="4" t="s">
        <v>119</v>
      </c>
      <c r="B3" s="4" t="s">
        <v>120</v>
      </c>
      <c r="C3" s="18" t="s">
        <v>121</v>
      </c>
    </row>
    <row r="4" spans="1:3" ht="38.25">
      <c r="A4" s="4" t="s">
        <v>122</v>
      </c>
      <c r="B4" s="4" t="s">
        <v>123</v>
      </c>
      <c r="C4" s="18" t="s">
        <v>124</v>
      </c>
    </row>
    <row r="5" spans="1:3" ht="25.5">
      <c r="A5" s="4" t="s">
        <v>125</v>
      </c>
      <c r="B5" s="4" t="s">
        <v>126</v>
      </c>
      <c r="C5" s="18" t="s">
        <v>127</v>
      </c>
    </row>
    <row r="6" spans="1:3" ht="38.25">
      <c r="A6" s="4" t="s">
        <v>128</v>
      </c>
      <c r="B6" s="4" t="s">
        <v>129</v>
      </c>
      <c r="C6" s="18" t="s">
        <v>130</v>
      </c>
    </row>
    <row r="7" spans="1:3" ht="12.75">
      <c r="A7" s="4" t="s">
        <v>131</v>
      </c>
      <c r="B7" s="4" t="s">
        <v>132</v>
      </c>
      <c r="C7" s="18" t="s">
        <v>133</v>
      </c>
    </row>
    <row r="8" spans="1:3" ht="38.25">
      <c r="A8" s="4" t="s">
        <v>134</v>
      </c>
      <c r="B8" s="4" t="s">
        <v>135</v>
      </c>
      <c r="C8" s="18" t="s">
        <v>136</v>
      </c>
    </row>
    <row r="9" spans="1:3" ht="127.5">
      <c r="A9" s="4" t="s">
        <v>137</v>
      </c>
      <c r="B9" s="4" t="s">
        <v>138</v>
      </c>
      <c r="C9" s="18" t="s">
        <v>139</v>
      </c>
    </row>
    <row r="10" spans="1:3" ht="38.25">
      <c r="A10" s="4" t="s">
        <v>140</v>
      </c>
      <c r="B10" s="4" t="s">
        <v>141</v>
      </c>
      <c r="C10" s="18" t="s">
        <v>142</v>
      </c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</hyperlinks>
  <pageMargins left="0.7" right="0.7" top="0.75" bottom="0.75" header="0.3" footer="0.3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4"/>
  <sheetViews>
    <sheetView workbookViewId="0">
      <pane ySplit="1" topLeftCell="A2" activePane="bottomLeft" state="frozen"/>
      <selection pane="bottomLeft"/>
    </sheetView>
  </sheetViews>
  <sheetFormatPr defaultColWidth="12.5703125" defaultRowHeight="15.75" customHeight="1"/>
  <cols>
    <col min="2" max="2" width="37.5703125" customWidth="1"/>
    <col min="4" max="4" width="37.5703125" customWidth="1"/>
  </cols>
  <sheetData>
    <row r="1" spans="1:4" ht="22.5" customHeight="1">
      <c r="A1" s="30" t="s">
        <v>143</v>
      </c>
      <c r="B1" s="30" t="s">
        <v>144</v>
      </c>
      <c r="C1" s="30" t="s">
        <v>3</v>
      </c>
      <c r="D1" s="30" t="s">
        <v>145</v>
      </c>
    </row>
    <row r="2" spans="1:4" ht="22.5" customHeight="1">
      <c r="A2" s="22" t="s">
        <v>146</v>
      </c>
      <c r="B2" s="22" t="s">
        <v>147</v>
      </c>
      <c r="C2" s="22" t="s">
        <v>148</v>
      </c>
      <c r="D2" s="29" t="s">
        <v>149</v>
      </c>
    </row>
    <row r="3" spans="1:4" ht="22.5" customHeight="1">
      <c r="A3" s="22" t="s">
        <v>150</v>
      </c>
      <c r="B3" s="22" t="s">
        <v>151</v>
      </c>
      <c r="C3" s="22" t="s">
        <v>148</v>
      </c>
      <c r="D3" s="29" t="s">
        <v>152</v>
      </c>
    </row>
    <row r="4" spans="1:4" ht="22.5" customHeight="1">
      <c r="A4" s="22" t="s">
        <v>153</v>
      </c>
      <c r="B4" s="22" t="s">
        <v>154</v>
      </c>
      <c r="C4" s="22" t="s">
        <v>148</v>
      </c>
      <c r="D4" s="29" t="s">
        <v>155</v>
      </c>
    </row>
  </sheetData>
  <hyperlinks>
    <hyperlink ref="D2" r:id="rId1" xr:uid="{00000000-0004-0000-0200-000000000000}"/>
    <hyperlink ref="D3" r:id="rId2" xr:uid="{00000000-0004-0000-0200-000001000000}"/>
    <hyperlink ref="D4" r:id="rId3" xr:uid="{00000000-0004-0000-0200-000002000000}"/>
  </hyperlinks>
  <pageMargins left="0.7" right="0.7" top="0.75" bottom="0.75" header="0.3" footer="0.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21"/>
  <sheetViews>
    <sheetView tabSelected="1" zoomScale="90" zoomScaleNormal="90" workbookViewId="0">
      <pane ySplit="1" topLeftCell="A11" activePane="bottomLeft" state="frozen"/>
      <selection pane="bottomLeft" activeCell="B1" sqref="B1"/>
    </sheetView>
  </sheetViews>
  <sheetFormatPr defaultColWidth="12.5703125" defaultRowHeight="15.75" customHeight="1"/>
  <cols>
    <col min="1" max="1" width="13.28515625" bestFit="1" customWidth="1"/>
    <col min="2" max="2" width="45" bestFit="1" customWidth="1"/>
    <col min="3" max="3" width="50.7109375" customWidth="1"/>
    <col min="4" max="4" width="38.28515625" bestFit="1" customWidth="1"/>
    <col min="5" max="5" width="35.7109375" customWidth="1"/>
  </cols>
  <sheetData>
    <row r="1" spans="1:5" ht="22.5" customHeight="1">
      <c r="A1" s="19" t="s">
        <v>156</v>
      </c>
      <c r="B1" s="20" t="s">
        <v>157</v>
      </c>
      <c r="C1" s="20" t="s">
        <v>143</v>
      </c>
      <c r="D1" s="20" t="s">
        <v>158</v>
      </c>
      <c r="E1" s="21" t="s">
        <v>115</v>
      </c>
    </row>
    <row r="2" spans="1:5" ht="25.5">
      <c r="A2" s="31">
        <v>1</v>
      </c>
      <c r="B2" s="22" t="s">
        <v>159</v>
      </c>
      <c r="C2" s="22" t="s">
        <v>160</v>
      </c>
      <c r="D2" s="22" t="s">
        <v>161</v>
      </c>
      <c r="E2" s="23" t="s">
        <v>162</v>
      </c>
    </row>
    <row r="3" spans="1:5" ht="25.5">
      <c r="A3" s="31">
        <v>2</v>
      </c>
      <c r="B3" s="22" t="s">
        <v>163</v>
      </c>
      <c r="C3" s="22" t="s">
        <v>164</v>
      </c>
      <c r="D3" s="22" t="s">
        <v>165</v>
      </c>
      <c r="E3" s="23" t="s">
        <v>166</v>
      </c>
    </row>
    <row r="4" spans="1:5" ht="25.5">
      <c r="A4" s="31">
        <v>3</v>
      </c>
      <c r="B4" s="22" t="s">
        <v>167</v>
      </c>
      <c r="C4" s="22" t="s">
        <v>168</v>
      </c>
      <c r="D4" s="22" t="s">
        <v>165</v>
      </c>
      <c r="E4" s="23" t="s">
        <v>169</v>
      </c>
    </row>
    <row r="5" spans="1:5" ht="25.5">
      <c r="A5" s="31">
        <v>4</v>
      </c>
      <c r="B5" s="22" t="s">
        <v>170</v>
      </c>
      <c r="C5" s="22" t="s">
        <v>171</v>
      </c>
      <c r="D5" s="22" t="s">
        <v>172</v>
      </c>
      <c r="E5" s="23" t="s">
        <v>173</v>
      </c>
    </row>
    <row r="6" spans="1:5" ht="25.5">
      <c r="A6" s="31">
        <v>5</v>
      </c>
      <c r="B6" s="22" t="s">
        <v>174</v>
      </c>
      <c r="C6" s="22" t="s">
        <v>175</v>
      </c>
      <c r="D6" s="22" t="s">
        <v>176</v>
      </c>
      <c r="E6" s="23" t="s">
        <v>177</v>
      </c>
    </row>
    <row r="7" spans="1:5" ht="12.75">
      <c r="A7" s="31">
        <v>6</v>
      </c>
      <c r="B7" s="22" t="s">
        <v>178</v>
      </c>
      <c r="C7" s="22" t="s">
        <v>179</v>
      </c>
      <c r="D7" s="22" t="s">
        <v>180</v>
      </c>
      <c r="E7" s="23" t="s">
        <v>181</v>
      </c>
    </row>
    <row r="8" spans="1:5" ht="25.5">
      <c r="A8" s="31">
        <v>7</v>
      </c>
      <c r="B8" s="22" t="s">
        <v>182</v>
      </c>
      <c r="C8" s="22" t="s">
        <v>183</v>
      </c>
      <c r="D8" s="22" t="s">
        <v>161</v>
      </c>
      <c r="E8" s="23" t="s">
        <v>184</v>
      </c>
    </row>
    <row r="9" spans="1:5" ht="38.25">
      <c r="A9" s="31">
        <v>8</v>
      </c>
      <c r="B9" s="22" t="s">
        <v>185</v>
      </c>
      <c r="C9" s="22" t="s">
        <v>186</v>
      </c>
      <c r="D9" s="22" t="s">
        <v>187</v>
      </c>
      <c r="E9" s="23" t="s">
        <v>188</v>
      </c>
    </row>
    <row r="10" spans="1:5" ht="63.75">
      <c r="A10" s="31">
        <v>9</v>
      </c>
      <c r="B10" s="22" t="s">
        <v>189</v>
      </c>
      <c r="C10" s="22" t="s">
        <v>190</v>
      </c>
      <c r="D10" s="22" t="s">
        <v>191</v>
      </c>
      <c r="E10" s="23" t="s">
        <v>192</v>
      </c>
    </row>
    <row r="11" spans="1:5" ht="38.25">
      <c r="A11" s="31">
        <v>10</v>
      </c>
      <c r="B11" s="22" t="s">
        <v>193</v>
      </c>
      <c r="C11" s="22" t="s">
        <v>194</v>
      </c>
      <c r="D11" s="22" t="s">
        <v>195</v>
      </c>
      <c r="E11" s="23" t="s">
        <v>196</v>
      </c>
    </row>
    <row r="12" spans="1:5" ht="51">
      <c r="A12" s="31">
        <v>11</v>
      </c>
      <c r="B12" s="22" t="s">
        <v>197</v>
      </c>
      <c r="C12" s="22" t="s">
        <v>198</v>
      </c>
      <c r="D12" s="22" t="s">
        <v>195</v>
      </c>
      <c r="E12" s="23" t="s">
        <v>196</v>
      </c>
    </row>
    <row r="13" spans="1:5" ht="38.25">
      <c r="A13" s="31">
        <v>12</v>
      </c>
      <c r="B13" s="22" t="s">
        <v>199</v>
      </c>
      <c r="C13" s="22" t="s">
        <v>200</v>
      </c>
      <c r="D13" s="22" t="s">
        <v>201</v>
      </c>
      <c r="E13" s="24" t="s">
        <v>202</v>
      </c>
    </row>
    <row r="14" spans="1:5" ht="38.25">
      <c r="A14" s="31">
        <v>13</v>
      </c>
      <c r="B14" s="22" t="s">
        <v>203</v>
      </c>
      <c r="C14" s="22" t="s">
        <v>204</v>
      </c>
      <c r="D14" s="22" t="s">
        <v>205</v>
      </c>
      <c r="E14" s="23" t="s">
        <v>206</v>
      </c>
    </row>
    <row r="15" spans="1:5" ht="38.25">
      <c r="A15" s="31">
        <v>14</v>
      </c>
      <c r="B15" s="22" t="s">
        <v>207</v>
      </c>
      <c r="C15" s="22" t="s">
        <v>208</v>
      </c>
      <c r="D15" s="22" t="s">
        <v>209</v>
      </c>
      <c r="E15" s="23" t="s">
        <v>210</v>
      </c>
    </row>
    <row r="16" spans="1:5" ht="51">
      <c r="A16" s="31">
        <v>15</v>
      </c>
      <c r="B16" s="22" t="s">
        <v>211</v>
      </c>
      <c r="C16" s="22" t="s">
        <v>212</v>
      </c>
      <c r="D16" s="22" t="s">
        <v>213</v>
      </c>
      <c r="E16" s="23" t="s">
        <v>214</v>
      </c>
    </row>
    <row r="17" spans="1:5" ht="25.5">
      <c r="A17" s="31">
        <v>16</v>
      </c>
      <c r="B17" s="22" t="s">
        <v>215</v>
      </c>
      <c r="C17" s="22" t="s">
        <v>216</v>
      </c>
      <c r="D17" s="22" t="s">
        <v>217</v>
      </c>
      <c r="E17" s="23" t="s">
        <v>218</v>
      </c>
    </row>
    <row r="18" spans="1:5" ht="25.5">
      <c r="A18" s="32">
        <v>17</v>
      </c>
      <c r="B18" s="27" t="s">
        <v>219</v>
      </c>
      <c r="C18" s="27" t="s">
        <v>220</v>
      </c>
      <c r="D18" s="27" t="s">
        <v>221</v>
      </c>
      <c r="E18" s="28" t="s">
        <v>222</v>
      </c>
    </row>
    <row r="19" spans="1:5" ht="51">
      <c r="A19" s="31">
        <v>18</v>
      </c>
      <c r="B19" s="22" t="s">
        <v>223</v>
      </c>
      <c r="C19" s="22" t="s">
        <v>224</v>
      </c>
      <c r="D19" s="22" t="s">
        <v>225</v>
      </c>
      <c r="E19" s="24" t="s">
        <v>226</v>
      </c>
    </row>
    <row r="20" spans="1:5" ht="25.5">
      <c r="A20" s="31">
        <v>19</v>
      </c>
      <c r="B20" s="22" t="s">
        <v>227</v>
      </c>
      <c r="C20" s="22" t="s">
        <v>228</v>
      </c>
      <c r="D20" s="22" t="s">
        <v>221</v>
      </c>
      <c r="E20" s="23" t="s">
        <v>229</v>
      </c>
    </row>
    <row r="21" spans="1:5" ht="12.75">
      <c r="A21" s="33">
        <v>20</v>
      </c>
      <c r="B21" s="25" t="s">
        <v>230</v>
      </c>
      <c r="C21" s="25" t="s">
        <v>231</v>
      </c>
      <c r="D21" s="25" t="s">
        <v>232</v>
      </c>
      <c r="E21" s="26" t="s">
        <v>233</v>
      </c>
    </row>
  </sheetData>
  <dataValidations count="1">
    <dataValidation type="custom" allowBlank="1" showDropDown="1" sqref="A2:A21" xr:uid="{00000000-0002-0000-0300-000000000000}">
      <formula1>AND(ISNUMBER(A2),(NOT(OR(NOT(ISERROR(DATEVALUE(A2))), AND(ISNUMBER(A2), LEFT(CELL("format", A2))="D")))))</formula1>
    </dataValidation>
  </dataValidations>
  <hyperlinks>
    <hyperlink ref="E2" r:id="rId1" xr:uid="{00000000-0004-0000-0300-000000000000}"/>
    <hyperlink ref="E3" r:id="rId2" xr:uid="{00000000-0004-0000-0300-000001000000}"/>
    <hyperlink ref="E4" r:id="rId3" xr:uid="{00000000-0004-0000-0300-000002000000}"/>
    <hyperlink ref="E5" r:id="rId4" xr:uid="{00000000-0004-0000-0300-000003000000}"/>
    <hyperlink ref="E6" r:id="rId5" xr:uid="{00000000-0004-0000-0300-000004000000}"/>
    <hyperlink ref="E7" r:id="rId6" xr:uid="{00000000-0004-0000-0300-000005000000}"/>
    <hyperlink ref="E8" r:id="rId7" xr:uid="{00000000-0004-0000-0300-000006000000}"/>
    <hyperlink ref="E9" r:id="rId8" xr:uid="{00000000-0004-0000-0300-000007000000}"/>
    <hyperlink ref="E10" r:id="rId9" xr:uid="{00000000-0004-0000-0300-000008000000}"/>
    <hyperlink ref="E11" r:id="rId10" xr:uid="{00000000-0004-0000-0300-000009000000}"/>
    <hyperlink ref="E12" r:id="rId11" xr:uid="{00000000-0004-0000-0300-00000A000000}"/>
    <hyperlink ref="E13" r:id="rId12" location="1496165617839-180a385e-7592" xr:uid="{00000000-0004-0000-0300-00000B000000}"/>
    <hyperlink ref="E14" r:id="rId13" xr:uid="{00000000-0004-0000-0300-00000C000000}"/>
    <hyperlink ref="E15" r:id="rId14" xr:uid="{00000000-0004-0000-0300-00000D000000}"/>
    <hyperlink ref="E16" r:id="rId15" xr:uid="{00000000-0004-0000-0300-00000E000000}"/>
    <hyperlink ref="E17" r:id="rId16" xr:uid="{00000000-0004-0000-0300-00000F000000}"/>
    <hyperlink ref="E18" r:id="rId17" xr:uid="{00000000-0004-0000-0300-000010000000}"/>
    <hyperlink ref="E19" r:id="rId18" xr:uid="{00000000-0004-0000-0300-000011000000}"/>
    <hyperlink ref="E20" r:id="rId19" xr:uid="{00000000-0004-0000-0300-000012000000}"/>
    <hyperlink ref="E21" r:id="rId20" xr:uid="{00000000-0004-0000-0300-000013000000}"/>
  </hyperlinks>
  <pageMargins left="0.7" right="0.7" top="0.75" bottom="0.75" header="0.3" footer="0.3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cronograma</vt:lpstr>
      <vt:lpstr>bibliografía</vt:lpstr>
      <vt:lpstr>cheatsheets_y_recursos_web</vt:lpstr>
      <vt:lpstr>bases_de_datos_posibles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A. Ortiz Solis</cp:lastModifiedBy>
  <dcterms:modified xsi:type="dcterms:W3CDTF">2026-04-06T13:45:59Z</dcterms:modified>
</cp:coreProperties>
</file>